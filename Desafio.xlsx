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 Felix\Downloads\"/>
    </mc:Choice>
  </mc:AlternateContent>
  <xr:revisionPtr revIDLastSave="0" documentId="13_ncr:1_{EE414F0F-45A8-4C3A-A8E7-A19BB658C4B9}" xr6:coauthVersionLast="47" xr6:coauthVersionMax="47" xr10:uidLastSave="{00000000-0000-0000-0000-000000000000}"/>
  <bookViews>
    <workbookView xWindow="-108" yWindow="-108" windowWidth="23256" windowHeight="12456" xr2:uid="{C830EE8E-3A99-4D09-8D42-D36AFD780F5B}"/>
  </bookViews>
  <sheets>
    <sheet name="Principal" sheetId="1" r:id="rId1"/>
    <sheet name="lista" sheetId="2" r:id="rId2"/>
  </sheets>
  <definedNames>
    <definedName name="aporte_mensal">Principal!$D$11</definedName>
    <definedName name="patrimonio">Principal!$D$14</definedName>
    <definedName name="porcentagem">Principal!$D$6</definedName>
    <definedName name="qtd_anos">Principal!$D$12</definedName>
    <definedName name="rendimento_carteira">Principal!$D$5</definedName>
    <definedName name="salario">Principal!$D$4</definedName>
    <definedName name="taxa_investimento">Principal!$D$13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1" l="1"/>
  <c r="C32" i="1"/>
  <c r="C33" i="1"/>
  <c r="C34" i="1"/>
  <c r="C35" i="1"/>
  <c r="C30" i="1"/>
  <c r="D7" i="1" l="1"/>
  <c r="D11" i="1" s="1"/>
  <c r="D14" i="1" l="1"/>
  <c r="D15" i="1" s="1"/>
  <c r="C27" i="1"/>
  <c r="C19" i="1"/>
  <c r="D19" i="1" s="1"/>
  <c r="C23" i="1"/>
  <c r="D23" i="1" s="1"/>
  <c r="C22" i="1"/>
  <c r="D22" i="1" s="1"/>
  <c r="C21" i="1"/>
  <c r="D21" i="1" s="1"/>
  <c r="C20" i="1"/>
  <c r="D20" i="1" s="1"/>
  <c r="D30" i="1" l="1"/>
  <c r="D35" i="1"/>
  <c r="D33" i="1"/>
  <c r="D34" i="1"/>
  <c r="D32" i="1"/>
  <c r="D31" i="1"/>
  <c r="D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Victor Félix</author>
  </authors>
  <commentList>
    <comment ref="B6" authorId="0" shapeId="0" xr:uid="{EC65E89A-E32E-425D-9628-7CE711AE470C}">
      <text>
        <r>
          <rPr>
            <b/>
            <sz val="9"/>
            <color indexed="81"/>
            <rFont val="Segoe UI"/>
            <charset val="1"/>
          </rPr>
          <t>João Victor Félix:</t>
        </r>
        <r>
          <rPr>
            <sz val="9"/>
            <color indexed="81"/>
            <rFont val="Segoe UI"/>
            <charset val="1"/>
          </rPr>
          <t xml:space="preserve">
Recomendação: 30%</t>
        </r>
      </text>
    </comment>
  </commentList>
</comments>
</file>

<file path=xl/sharedStrings.xml><?xml version="1.0" encoding="utf-8"?>
<sst xmlns="http://schemas.openxmlformats.org/spreadsheetml/2006/main" count="88" uniqueCount="52">
  <si>
    <t>Salário</t>
  </si>
  <si>
    <t>Rendimento da Carteira</t>
  </si>
  <si>
    <t>Valor do Investimento</t>
  </si>
  <si>
    <t>Porcentagem do salário para investir</t>
  </si>
  <si>
    <t>Investimento</t>
  </si>
  <si>
    <t>Aporte Mensal</t>
  </si>
  <si>
    <t>Quantidade de Anos</t>
  </si>
  <si>
    <t>Taxa de Rendimento Mensal</t>
  </si>
  <si>
    <t>Patrimônio Acumulado</t>
  </si>
  <si>
    <t>Dividendo Mensal</t>
  </si>
  <si>
    <t>Horizontes</t>
  </si>
  <si>
    <t>Dividendo</t>
  </si>
  <si>
    <t>Em 2 anos</t>
  </si>
  <si>
    <t>Em 10 anos</t>
  </si>
  <si>
    <t>Em 30 anos</t>
  </si>
  <si>
    <t>Em 50 anos</t>
  </si>
  <si>
    <t>Em 5 anos</t>
  </si>
  <si>
    <t>CHAVE</t>
  </si>
  <si>
    <t>PERFIL</t>
  </si>
  <si>
    <t>TIPO DE FII</t>
  </si>
  <si>
    <t>%</t>
  </si>
  <si>
    <t>Conservador-PAPEL</t>
  </si>
  <si>
    <t>Conservador</t>
  </si>
  <si>
    <t>PAPEL</t>
  </si>
  <si>
    <t>Conservador-TIJOLO</t>
  </si>
  <si>
    <t>TIJOLO</t>
  </si>
  <si>
    <t>Conservador-HÍBRIDOS</t>
  </si>
  <si>
    <t>HÍBRIDOS</t>
  </si>
  <si>
    <t>Conservador-FOFs</t>
  </si>
  <si>
    <t>FOFs</t>
  </si>
  <si>
    <t>Conservador-DESENVOLVIMENTO</t>
  </si>
  <si>
    <t>DESENVOLVIMENTO</t>
  </si>
  <si>
    <t>Conservador-HOTELARIAS</t>
  </si>
  <si>
    <t>HOTELARIAS</t>
  </si>
  <si>
    <t>Moderado-PAPEL</t>
  </si>
  <si>
    <t>Moderado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</si>
  <si>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</si>
  <si>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</si>
  <si>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</si>
  <si>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</si>
  <si>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</si>
  <si>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</si>
  <si>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</t>
  </si>
  <si>
    <t>Agressivo-TIJOLO</t>
  </si>
  <si>
    <t>Agressivo-HÍBRIDOS</t>
  </si>
  <si>
    <t>Agressivo-FOFs</t>
  </si>
  <si>
    <t>Agressivo-DESENVOLVIMENTO</t>
  </si>
  <si>
    <t>Agressivo-HOTELARIAS</t>
  </si>
  <si>
    <t>Dados iniciais</t>
  </si>
  <si>
    <t>VALOR A SER INVESTIDO POR MÊS</t>
  </si>
  <si>
    <t>Percentual Sugerido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</si>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</sst>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72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2"/>
      <color theme="0"/>
      <name val="Segoe UI"/>
      <family val="2"/>
    </font>
    <font>
      <b/>
      <sz val="11"/>
      <color theme="1"/>
      <name val="Segoe UI"/>
      <family val="2"/>
    </font>
    <font>
      <b/>
      <sz val="18"/>
      <color theme="0"/>
      <name val="Segoe UI"/>
      <family val="2"/>
    </font>
    <font>
      <sz val="11"/>
      <color rgb="FF9C5700"/>
      <name val="Segoe UI Light"/>
      <family val="2"/>
    </font>
    <font>
      <sz val="11"/>
      <color rgb="FF9C57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172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0" fillId="0" borderId="0" xfId="0" applyBorder="1"/>
    <xf numFmtId="0" fontId="6" fillId="0" borderId="0" xfId="0" applyFont="1"/>
    <xf numFmtId="10" fontId="6" fillId="0" borderId="5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" fontId="6" fillId="0" borderId="5" xfId="0" applyNumberFormat="1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1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64" fontId="6" fillId="0" borderId="12" xfId="0" applyNumberFormat="1" applyFont="1" applyBorder="1" applyAlignment="1">
      <alignment horizontal="center" vertical="center"/>
    </xf>
    <xf numFmtId="8" fontId="6" fillId="5" borderId="8" xfId="0" applyNumberFormat="1" applyFont="1" applyFill="1" applyBorder="1" applyAlignment="1">
      <alignment horizontal="center" vertical="center"/>
    </xf>
    <xf numFmtId="8" fontId="6" fillId="5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10" fillId="8" borderId="9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1" fontId="6" fillId="5" borderId="18" xfId="0" applyNumberFormat="1" applyFont="1" applyFill="1" applyBorder="1" applyAlignment="1">
      <alignment horizontal="left" vertical="center"/>
    </xf>
    <xf numFmtId="8" fontId="6" fillId="5" borderId="19" xfId="0" applyNumberFormat="1" applyFont="1" applyFill="1" applyBorder="1" applyAlignment="1">
      <alignment horizontal="center" vertical="center"/>
    </xf>
    <xf numFmtId="1" fontId="6" fillId="5" borderId="20" xfId="0" applyNumberFormat="1" applyFont="1" applyFill="1" applyBorder="1" applyAlignment="1">
      <alignment horizontal="left" vertical="center"/>
    </xf>
    <xf numFmtId="8" fontId="6" fillId="5" borderId="21" xfId="0" applyNumberFormat="1" applyFont="1" applyFill="1" applyBorder="1" applyAlignment="1">
      <alignment horizontal="center" vertical="center"/>
    </xf>
    <xf numFmtId="1" fontId="6" fillId="5" borderId="22" xfId="0" applyNumberFormat="1" applyFont="1" applyFill="1" applyBorder="1" applyAlignment="1">
      <alignment horizontal="left" vertical="center"/>
    </xf>
    <xf numFmtId="8" fontId="6" fillId="5" borderId="23" xfId="0" applyNumberFormat="1" applyFont="1" applyFill="1" applyBorder="1" applyAlignment="1">
      <alignment horizontal="center" vertical="center"/>
    </xf>
    <xf numFmtId="8" fontId="6" fillId="5" borderId="2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8" fontId="6" fillId="5" borderId="5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164" fontId="6" fillId="5" borderId="7" xfId="0" applyNumberFormat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/>
    </xf>
    <xf numFmtId="0" fontId="7" fillId="5" borderId="15" xfId="0" applyFont="1" applyFill="1" applyBorder="1" applyAlignment="1">
      <alignment horizontal="left"/>
    </xf>
    <xf numFmtId="164" fontId="7" fillId="5" borderId="7" xfId="0" applyNumberFormat="1" applyFont="1" applyFill="1" applyBorder="1" applyAlignment="1">
      <alignment horizontal="center"/>
    </xf>
    <xf numFmtId="0" fontId="10" fillId="3" borderId="13" xfId="2" applyNumberFormat="1" applyFont="1" applyFill="1" applyBorder="1" applyAlignment="1">
      <alignment horizontal="center" vertical="center"/>
    </xf>
    <xf numFmtId="0" fontId="10" fillId="3" borderId="25" xfId="2" applyNumberFormat="1" applyFont="1" applyFill="1" applyBorder="1" applyAlignment="1">
      <alignment horizontal="center" vertical="center"/>
    </xf>
    <xf numFmtId="0" fontId="10" fillId="3" borderId="14" xfId="2" applyNumberFormat="1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1" fillId="2" borderId="0" xfId="2" applyFont="1"/>
    <xf numFmtId="0" fontId="11" fillId="2" borderId="0" xfId="2" applyFont="1" applyAlignment="1">
      <alignment horizontal="center"/>
    </xf>
    <xf numFmtId="0" fontId="7" fillId="6" borderId="0" xfId="0" applyFont="1" applyFill="1"/>
    <xf numFmtId="164" fontId="7" fillId="6" borderId="0" xfId="1" applyNumberFormat="1" applyFont="1" applyFill="1" applyAlignment="1">
      <alignment horizontal="center"/>
    </xf>
    <xf numFmtId="9" fontId="6" fillId="0" borderId="0" xfId="0" applyNumberFormat="1" applyFont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7" fillId="7" borderId="0" xfId="0" applyFont="1" applyFill="1"/>
    <xf numFmtId="164" fontId="7" fillId="7" borderId="0" xfId="0" applyNumberFormat="1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2" fillId="2" borderId="0" xfId="2" applyFont="1"/>
    <xf numFmtId="0" fontId="9" fillId="6" borderId="0" xfId="0" applyFont="1" applyFill="1"/>
  </cellXfs>
  <cellStyles count="4">
    <cellStyle name="Moeda" xfId="1" builtinId="4"/>
    <cellStyle name="Moeda 2" xfId="3" xr:uid="{CBB8D819-0937-4F38-8132-856F76E71BE3}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003366"/>
      <color rgb="FFF5F5F5"/>
      <color rgb="FFCC3300"/>
      <color rgb="FFE0D762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0A8C-4FCD-487E-8047-EC33EF10ADBD}">
  <dimension ref="A1:G39"/>
  <sheetViews>
    <sheetView showGridLines="0" tabSelected="1" topLeftCell="A10" zoomScale="115" zoomScaleNormal="115" workbookViewId="0">
      <selection activeCell="G21" sqref="G21"/>
    </sheetView>
  </sheetViews>
  <sheetFormatPr defaultColWidth="0" defaultRowHeight="16.8" zeroHeight="1" x14ac:dyDescent="0.4"/>
  <cols>
    <col min="1" max="1" width="8.88671875" customWidth="1"/>
    <col min="2" max="2" width="35.109375" style="3" bestFit="1" customWidth="1"/>
    <col min="3" max="3" width="20.33203125" style="3" bestFit="1" customWidth="1"/>
    <col min="4" max="4" width="17.88671875" customWidth="1"/>
    <col min="5" max="7" width="8.88671875" customWidth="1"/>
    <col min="8" max="16384" width="8.88671875" hidden="1"/>
  </cols>
  <sheetData>
    <row r="1" spans="2:4" x14ac:dyDescent="0.4"/>
    <row r="2" spans="2:4" ht="17.399999999999999" thickBot="1" x14ac:dyDescent="0.45"/>
    <row r="3" spans="2:4" ht="27.6" thickBot="1" x14ac:dyDescent="0.35">
      <c r="B3" s="47" t="s">
        <v>48</v>
      </c>
      <c r="C3" s="48"/>
      <c r="D3" s="49"/>
    </row>
    <row r="4" spans="2:4" x14ac:dyDescent="0.4">
      <c r="B4" s="13" t="s">
        <v>0</v>
      </c>
      <c r="C4" s="14"/>
      <c r="D4" s="5">
        <v>5000</v>
      </c>
    </row>
    <row r="5" spans="2:4" x14ac:dyDescent="0.4">
      <c r="B5" s="9" t="s">
        <v>1</v>
      </c>
      <c r="C5" s="8"/>
      <c r="D5" s="4">
        <v>8.0000000000000002E-3</v>
      </c>
    </row>
    <row r="6" spans="2:4" x14ac:dyDescent="0.4">
      <c r="B6" s="9" t="s">
        <v>3</v>
      </c>
      <c r="C6" s="8"/>
      <c r="D6" s="4">
        <v>0.2</v>
      </c>
    </row>
    <row r="7" spans="2:4" ht="17.399999999999999" thickBot="1" x14ac:dyDescent="0.45">
      <c r="B7" s="44" t="s">
        <v>2</v>
      </c>
      <c r="C7" s="45"/>
      <c r="D7" s="46">
        <f>salario*porcentagem</f>
        <v>1000</v>
      </c>
    </row>
    <row r="8" spans="2:4" x14ac:dyDescent="0.4">
      <c r="D8" s="2"/>
    </row>
    <row r="9" spans="2:4" ht="17.399999999999999" thickBot="1" x14ac:dyDescent="0.45"/>
    <row r="10" spans="2:4" ht="27.6" thickBot="1" x14ac:dyDescent="0.35">
      <c r="B10" s="50" t="s">
        <v>4</v>
      </c>
      <c r="C10" s="51"/>
      <c r="D10" s="52"/>
    </row>
    <row r="11" spans="2:4" x14ac:dyDescent="0.3">
      <c r="B11" s="15" t="s">
        <v>5</v>
      </c>
      <c r="C11" s="16"/>
      <c r="D11" s="17">
        <f>D7</f>
        <v>1000</v>
      </c>
    </row>
    <row r="12" spans="2:4" x14ac:dyDescent="0.3">
      <c r="B12" s="10" t="s">
        <v>6</v>
      </c>
      <c r="C12" s="7"/>
      <c r="D12" s="11">
        <v>3</v>
      </c>
    </row>
    <row r="13" spans="2:4" x14ac:dyDescent="0.3">
      <c r="B13" s="10" t="s">
        <v>7</v>
      </c>
      <c r="C13" s="7"/>
      <c r="D13" s="12">
        <v>1.0699999999999999E-2</v>
      </c>
    </row>
    <row r="14" spans="2:4" x14ac:dyDescent="0.3">
      <c r="B14" s="39" t="s">
        <v>8</v>
      </c>
      <c r="C14" s="20"/>
      <c r="D14" s="40">
        <f>FV(taxa_investimento,qtd_anos*12,aporte_mensal*-1)</f>
        <v>43635.847572099548</v>
      </c>
    </row>
    <row r="15" spans="2:4" ht="17.399999999999999" thickBot="1" x14ac:dyDescent="0.35">
      <c r="B15" s="41" t="s">
        <v>9</v>
      </c>
      <c r="C15" s="42"/>
      <c r="D15" s="43">
        <f>patrimonio*rendimento_carteira</f>
        <v>349.0867805767964</v>
      </c>
    </row>
    <row r="16" spans="2:4" x14ac:dyDescent="0.4"/>
    <row r="17" spans="1:4" ht="17.399999999999999" thickBot="1" x14ac:dyDescent="0.45"/>
    <row r="18" spans="1:4" ht="27.6" thickBot="1" x14ac:dyDescent="0.35">
      <c r="B18" s="29" t="s">
        <v>10</v>
      </c>
      <c r="C18" s="30"/>
      <c r="D18" s="31" t="s">
        <v>11</v>
      </c>
    </row>
    <row r="19" spans="1:4" x14ac:dyDescent="0.3">
      <c r="A19" s="1">
        <v>2</v>
      </c>
      <c r="B19" s="32" t="s">
        <v>12</v>
      </c>
      <c r="C19" s="18">
        <f>FV(taxa_investimento,A19*12,aporte_mensal*-1)</f>
        <v>27198.521616886395</v>
      </c>
      <c r="D19" s="33">
        <f>C19*rendimento_carteira</f>
        <v>217.58817293509117</v>
      </c>
    </row>
    <row r="20" spans="1:4" x14ac:dyDescent="0.3">
      <c r="A20" s="1">
        <v>5</v>
      </c>
      <c r="B20" s="34" t="s">
        <v>16</v>
      </c>
      <c r="C20" s="19">
        <f>FV(taxa_investimento,A20*12,aporte_mensal*-1)</f>
        <v>83533.456004017658</v>
      </c>
      <c r="D20" s="35">
        <f>C20*rendimento_carteira</f>
        <v>668.26764803214132</v>
      </c>
    </row>
    <row r="21" spans="1:4" x14ac:dyDescent="0.3">
      <c r="A21" s="1">
        <v>10</v>
      </c>
      <c r="B21" s="34" t="s">
        <v>13</v>
      </c>
      <c r="C21" s="19">
        <f>FV(taxa_investimento,A21*12,aporte_mensal*-1)</f>
        <v>241729.78151816945</v>
      </c>
      <c r="D21" s="35">
        <f>C21*rendimento_carteira</f>
        <v>1933.8382521453557</v>
      </c>
    </row>
    <row r="22" spans="1:4" x14ac:dyDescent="0.3">
      <c r="A22" s="1">
        <v>30</v>
      </c>
      <c r="B22" s="34" t="s">
        <v>14</v>
      </c>
      <c r="C22" s="19">
        <f>FV(taxa_investimento,A22*12,aporte_mensal*-1)</f>
        <v>4218076.6455439935</v>
      </c>
      <c r="D22" s="35">
        <f>C22*rendimento_carteira</f>
        <v>33744.613164351947</v>
      </c>
    </row>
    <row r="23" spans="1:4" ht="17.399999999999999" thickBot="1" x14ac:dyDescent="0.35">
      <c r="A23" s="1">
        <v>50</v>
      </c>
      <c r="B23" s="36" t="s">
        <v>15</v>
      </c>
      <c r="C23" s="37">
        <f>FV(taxa_investimento,A23*12,aporte_mensal*-1)</f>
        <v>55366002.845095836</v>
      </c>
      <c r="D23" s="38">
        <f>C23*rendimento_carteira</f>
        <v>442928.02276076667</v>
      </c>
    </row>
    <row r="24" spans="1:4" x14ac:dyDescent="0.4"/>
    <row r="25" spans="1:4" x14ac:dyDescent="0.4"/>
    <row r="26" spans="1:4" x14ac:dyDescent="0.4">
      <c r="B26" s="62" t="s">
        <v>18</v>
      </c>
      <c r="C26" s="54" t="s">
        <v>35</v>
      </c>
      <c r="D26" s="53"/>
    </row>
    <row r="27" spans="1:4" x14ac:dyDescent="0.4">
      <c r="B27" s="63" t="s">
        <v>49</v>
      </c>
      <c r="C27" s="56">
        <f>aporte_mensal</f>
        <v>1000</v>
      </c>
      <c r="D27" s="55"/>
    </row>
    <row r="28" spans="1:4" x14ac:dyDescent="0.4">
      <c r="D28" s="3"/>
    </row>
    <row r="29" spans="1:4" x14ac:dyDescent="0.4">
      <c r="B29" s="61" t="s">
        <v>19</v>
      </c>
      <c r="C29" s="61" t="s">
        <v>50</v>
      </c>
      <c r="D29" s="61" t="s">
        <v>51</v>
      </c>
    </row>
    <row r="30" spans="1:4" x14ac:dyDescent="0.4">
      <c r="B30" s="6" t="s">
        <v>23</v>
      </c>
      <c r="C30" s="57">
        <f>VLOOKUP($C$26&amp;"-"&amp;B30,lista!B:E,4,FALSE)</f>
        <v>0.4</v>
      </c>
      <c r="D30" s="58">
        <f>$C$27*C30</f>
        <v>400</v>
      </c>
    </row>
    <row r="31" spans="1:4" x14ac:dyDescent="0.4">
      <c r="B31" s="6" t="s">
        <v>25</v>
      </c>
      <c r="C31" s="57">
        <f>VLOOKUP($C$26&amp;"-"&amp;B31,lista!B:E,4,FALSE)</f>
        <v>0.35</v>
      </c>
      <c r="D31" s="58">
        <f t="shared" ref="D31:D35" si="0">$C$27*C31</f>
        <v>350</v>
      </c>
    </row>
    <row r="32" spans="1:4" x14ac:dyDescent="0.4">
      <c r="B32" s="6" t="s">
        <v>27</v>
      </c>
      <c r="C32" s="57">
        <f>VLOOKUP($C$26&amp;"-"&amp;B32,lista!B:E,4,FALSE)</f>
        <v>0.1</v>
      </c>
      <c r="D32" s="58">
        <f t="shared" si="0"/>
        <v>100</v>
      </c>
    </row>
    <row r="33" spans="2:4" x14ac:dyDescent="0.4">
      <c r="B33" s="6" t="s">
        <v>29</v>
      </c>
      <c r="C33" s="57">
        <f>VLOOKUP($C$26&amp;"-"&amp;B33,lista!B:E,4,FALSE)</f>
        <v>0.05</v>
      </c>
      <c r="D33" s="58">
        <f t="shared" si="0"/>
        <v>50</v>
      </c>
    </row>
    <row r="34" spans="2:4" x14ac:dyDescent="0.4">
      <c r="B34" s="6" t="s">
        <v>31</v>
      </c>
      <c r="C34" s="57">
        <f>VLOOKUP($C$26&amp;"-"&amp;B34,lista!B:E,4,FALSE)</f>
        <v>0.05</v>
      </c>
      <c r="D34" s="58">
        <f t="shared" si="0"/>
        <v>50</v>
      </c>
    </row>
    <row r="35" spans="2:4" x14ac:dyDescent="0.4">
      <c r="B35" s="6" t="s">
        <v>33</v>
      </c>
      <c r="C35" s="57">
        <f>VLOOKUP($C$26&amp;"-"&amp;B35,lista!B:E,4,FALSE)</f>
        <v>0.05</v>
      </c>
      <c r="D35" s="58">
        <f t="shared" si="0"/>
        <v>50</v>
      </c>
    </row>
    <row r="36" spans="2:4" x14ac:dyDescent="0.4">
      <c r="B36" s="59"/>
      <c r="C36" s="59"/>
      <c r="D36" s="60">
        <f>SUM(D30:D35)</f>
        <v>1000</v>
      </c>
    </row>
    <row r="37" spans="2:4" x14ac:dyDescent="0.4"/>
    <row r="38" spans="2:4" x14ac:dyDescent="0.4"/>
    <row r="39" spans="2:4" x14ac:dyDescent="0.4"/>
  </sheetData>
  <mergeCells count="12">
    <mergeCell ref="B18:C18"/>
    <mergeCell ref="B14:C14"/>
    <mergeCell ref="B15:C15"/>
    <mergeCell ref="B4:C4"/>
    <mergeCell ref="B5:C5"/>
    <mergeCell ref="B6:C6"/>
    <mergeCell ref="B7:C7"/>
    <mergeCell ref="B10:D10"/>
    <mergeCell ref="B11:C11"/>
    <mergeCell ref="B12:C12"/>
    <mergeCell ref="B13:C13"/>
    <mergeCell ref="B3:D3"/>
  </mergeCells>
  <dataValidations count="1">
    <dataValidation type="list" allowBlank="1" showInputMessage="1" showErrorMessage="1" sqref="C26" xr:uid="{3080EEAA-C0ED-46E0-9D98-1827E77BBDB0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4D24-4C20-4C9E-8369-EC0993F7ABC6}">
  <dimension ref="B2:E20"/>
  <sheetViews>
    <sheetView workbookViewId="0">
      <selection activeCell="G17" sqref="G17"/>
    </sheetView>
  </sheetViews>
  <sheetFormatPr defaultRowHeight="14.4" x14ac:dyDescent="0.3"/>
  <cols>
    <col min="2" max="2" width="29.21875" bestFit="1" customWidth="1"/>
    <col min="3" max="3" width="11.33203125" bestFit="1" customWidth="1"/>
    <col min="4" max="4" width="18" bestFit="1" customWidth="1"/>
    <col min="5" max="5" width="9" customWidth="1"/>
  </cols>
  <sheetData>
    <row r="2" spans="2:5" x14ac:dyDescent="0.3">
      <c r="B2" s="27" t="s">
        <v>17</v>
      </c>
      <c r="C2" s="27" t="s">
        <v>18</v>
      </c>
      <c r="D2" s="28" t="s">
        <v>19</v>
      </c>
      <c r="E2" s="28" t="s">
        <v>20</v>
      </c>
    </row>
    <row r="3" spans="2:5" x14ac:dyDescent="0.3">
      <c r="B3" s="21" t="s">
        <v>21</v>
      </c>
      <c r="C3" s="21" t="s">
        <v>22</v>
      </c>
      <c r="D3" s="22" t="s">
        <v>23</v>
      </c>
      <c r="E3" s="23">
        <v>0.5</v>
      </c>
    </row>
    <row r="4" spans="2:5" x14ac:dyDescent="0.3">
      <c r="B4" s="21" t="s">
        <v>24</v>
      </c>
      <c r="C4" s="21" t="s">
        <v>22</v>
      </c>
      <c r="D4" s="22" t="s">
        <v>25</v>
      </c>
      <c r="E4" s="23">
        <v>0.3</v>
      </c>
    </row>
    <row r="5" spans="2:5" x14ac:dyDescent="0.3">
      <c r="B5" s="21" t="s">
        <v>26</v>
      </c>
      <c r="C5" s="21" t="s">
        <v>22</v>
      </c>
      <c r="D5" s="22" t="s">
        <v>27</v>
      </c>
      <c r="E5" s="23">
        <v>0.1</v>
      </c>
    </row>
    <row r="6" spans="2:5" x14ac:dyDescent="0.3">
      <c r="B6" s="21" t="s">
        <v>28</v>
      </c>
      <c r="C6" s="21" t="s">
        <v>22</v>
      </c>
      <c r="D6" s="22" t="s">
        <v>29</v>
      </c>
      <c r="E6" s="23">
        <v>0.1</v>
      </c>
    </row>
    <row r="7" spans="2:5" x14ac:dyDescent="0.3">
      <c r="B7" s="21" t="s">
        <v>30</v>
      </c>
      <c r="C7" s="21" t="s">
        <v>22</v>
      </c>
      <c r="D7" s="22" t="s">
        <v>31</v>
      </c>
      <c r="E7" s="23">
        <v>0</v>
      </c>
    </row>
    <row r="8" spans="2:5" ht="15" thickBot="1" x14ac:dyDescent="0.35">
      <c r="B8" s="24" t="s">
        <v>32</v>
      </c>
      <c r="C8" s="24" t="s">
        <v>22</v>
      </c>
      <c r="D8" s="25" t="s">
        <v>33</v>
      </c>
      <c r="E8" s="26">
        <v>0</v>
      </c>
    </row>
    <row r="9" spans="2:5" x14ac:dyDescent="0.3">
      <c r="B9" s="21" t="s">
        <v>34</v>
      </c>
      <c r="C9" s="21" t="s">
        <v>35</v>
      </c>
      <c r="D9" s="22" t="s">
        <v>23</v>
      </c>
      <c r="E9" s="23">
        <v>0.4</v>
      </c>
    </row>
    <row r="10" spans="2:5" x14ac:dyDescent="0.3">
      <c r="B10" s="21" t="s">
        <v>36</v>
      </c>
      <c r="C10" s="21" t="s">
        <v>35</v>
      </c>
      <c r="D10" s="22" t="s">
        <v>25</v>
      </c>
      <c r="E10" s="23">
        <v>0.35</v>
      </c>
    </row>
    <row r="11" spans="2:5" x14ac:dyDescent="0.3">
      <c r="B11" s="21" t="s">
        <v>37</v>
      </c>
      <c r="C11" s="21" t="s">
        <v>35</v>
      </c>
      <c r="D11" s="22" t="s">
        <v>27</v>
      </c>
      <c r="E11" s="23">
        <v>0.1</v>
      </c>
    </row>
    <row r="12" spans="2:5" x14ac:dyDescent="0.3">
      <c r="B12" s="21" t="s">
        <v>38</v>
      </c>
      <c r="C12" s="21" t="s">
        <v>35</v>
      </c>
      <c r="D12" s="22" t="s">
        <v>29</v>
      </c>
      <c r="E12" s="23">
        <v>0.05</v>
      </c>
    </row>
    <row r="13" spans="2:5" x14ac:dyDescent="0.3">
      <c r="B13" s="21" t="s">
        <v>39</v>
      </c>
      <c r="C13" s="21" t="s">
        <v>35</v>
      </c>
      <c r="D13" s="22" t="s">
        <v>31</v>
      </c>
      <c r="E13" s="23">
        <v>0.05</v>
      </c>
    </row>
    <row r="14" spans="2:5" ht="15" thickBot="1" x14ac:dyDescent="0.35">
      <c r="B14" s="24" t="s">
        <v>40</v>
      </c>
      <c r="C14" s="24" t="s">
        <v>35</v>
      </c>
      <c r="D14" s="25" t="s">
        <v>33</v>
      </c>
      <c r="E14" s="26">
        <v>0.05</v>
      </c>
    </row>
    <row r="15" spans="2:5" x14ac:dyDescent="0.3">
      <c r="B15" s="21" t="s">
        <v>41</v>
      </c>
      <c r="C15" s="21" t="s">
        <v>42</v>
      </c>
      <c r="D15" s="22" t="s">
        <v>23</v>
      </c>
      <c r="E15" s="23">
        <v>0.2</v>
      </c>
    </row>
    <row r="16" spans="2:5" x14ac:dyDescent="0.3">
      <c r="B16" s="21" t="s">
        <v>43</v>
      </c>
      <c r="C16" s="21" t="s">
        <v>42</v>
      </c>
      <c r="D16" s="22" t="s">
        <v>25</v>
      </c>
      <c r="E16" s="23">
        <v>0.4</v>
      </c>
    </row>
    <row r="17" spans="2:5" x14ac:dyDescent="0.3">
      <c r="B17" s="21" t="s">
        <v>44</v>
      </c>
      <c r="C17" s="21" t="s">
        <v>42</v>
      </c>
      <c r="D17" s="22" t="s">
        <v>27</v>
      </c>
      <c r="E17" s="23">
        <v>0.05</v>
      </c>
    </row>
    <row r="18" spans="2:5" x14ac:dyDescent="0.3">
      <c r="B18" s="21" t="s">
        <v>45</v>
      </c>
      <c r="C18" s="21" t="s">
        <v>42</v>
      </c>
      <c r="D18" s="22" t="s">
        <v>29</v>
      </c>
      <c r="E18" s="23">
        <v>0.05</v>
      </c>
    </row>
    <row r="19" spans="2:5" x14ac:dyDescent="0.3">
      <c r="B19" s="21" t="s">
        <v>46</v>
      </c>
      <c r="C19" s="21" t="s">
        <v>42</v>
      </c>
      <c r="D19" s="22" t="s">
        <v>31</v>
      </c>
      <c r="E19" s="23">
        <v>0.2</v>
      </c>
    </row>
    <row r="20" spans="2:5" x14ac:dyDescent="0.3">
      <c r="B20" s="21" t="s">
        <v>47</v>
      </c>
      <c r="C20" s="21" t="s">
        <v>42</v>
      </c>
      <c r="D20" s="22" t="s">
        <v>33</v>
      </c>
      <c r="E20" s="2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Principal</vt:lpstr>
      <vt:lpstr>lista</vt:lpstr>
      <vt:lpstr>aporte_mensal</vt:lpstr>
      <vt:lpstr>patrimonio</vt:lpstr>
      <vt:lpstr>porcentagem</vt:lpstr>
      <vt:lpstr>qtd_anos</vt:lpstr>
      <vt:lpstr>rendimento_carteira</vt:lpstr>
      <vt:lpstr>salario</vt:lpstr>
      <vt:lpstr>taxa_investimento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Félix</dc:creator>
  <cp:lastModifiedBy>João Victor Félix</cp:lastModifiedBy>
  <dcterms:created xsi:type="dcterms:W3CDTF">2025-12-23T11:45:19Z</dcterms:created>
  <dcterms:modified xsi:type="dcterms:W3CDTF">2025-12-23T13:23:52Z</dcterms:modified>
</cp:coreProperties>
</file>